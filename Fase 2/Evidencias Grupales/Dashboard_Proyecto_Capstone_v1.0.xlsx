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1153e09d51c7c0b/Desktop/"/>
    </mc:Choice>
  </mc:AlternateContent>
  <xr:revisionPtr revIDLastSave="0" documentId="8_{36164285-A601-4A11-91FE-3AF1FDB370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Inventario" sheetId="2" r:id="rId2"/>
    <sheet name="Planificación" sheetId="3" r:id="rId3"/>
    <sheet name="Riesgos_Evaluació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F13" i="2"/>
  <c r="F12" i="2"/>
  <c r="F11" i="2"/>
  <c r="F10" i="2"/>
  <c r="F9" i="2"/>
  <c r="F8" i="2"/>
  <c r="F7" i="2"/>
  <c r="F6" i="2"/>
  <c r="F5" i="2"/>
  <c r="F15" i="2" s="1"/>
  <c r="E6" i="1" s="1"/>
  <c r="H6" i="1" s="1"/>
  <c r="F15" i="1"/>
  <c r="E15" i="1"/>
  <c r="D15" i="1"/>
  <c r="F14" i="1"/>
  <c r="E14" i="1"/>
  <c r="D14" i="1"/>
  <c r="F13" i="1"/>
  <c r="E13" i="1"/>
  <c r="D13" i="1"/>
  <c r="F12" i="1"/>
  <c r="F16" i="1" s="1"/>
  <c r="E12" i="1"/>
  <c r="E16" i="1" s="1"/>
  <c r="D12" i="1"/>
  <c r="D16" i="1" s="1"/>
</calcChain>
</file>

<file path=xl/sharedStrings.xml><?xml version="1.0" encoding="utf-8"?>
<sst xmlns="http://schemas.openxmlformats.org/spreadsheetml/2006/main" count="153" uniqueCount="132">
  <si>
    <t>DASHBOARD DE SEGUIMIENTO - PROYECTO CAPSTONE</t>
  </si>
  <si>
    <t>Ficha de Avance 04: Trazabilidad y Planificación de la Versión 1.0 | Docente Guía: Reginaldo Salinas</t>
  </si>
  <si>
    <t>META ESTIMADA V1.0</t>
  </si>
  <si>
    <t>AVANCE REAL RECONOCIDO</t>
  </si>
  <si>
    <t>BRECHA DE AVANCE</t>
  </si>
  <si>
    <t>ESTADO DE VIABILIDAD</t>
  </si>
  <si>
    <t>Viable con Ajustes</t>
  </si>
  <si>
    <t>Resumen por Estado de Cumplimiento</t>
  </si>
  <si>
    <t>Estado</t>
  </si>
  <si>
    <t>Criterio %</t>
  </si>
  <si>
    <t>N° Funcionalidades</t>
  </si>
  <si>
    <t>Peso Total (%)</t>
  </si>
  <si>
    <t>Avance Reconocido (%)</t>
  </si>
  <si>
    <t>Terminada y comprobada</t>
  </si>
  <si>
    <t>Funciona parcialmente</t>
  </si>
  <si>
    <t>Iniciada no funcional</t>
  </si>
  <si>
    <t>No iniciada</t>
  </si>
  <si>
    <t>TOTAL</t>
  </si>
  <si>
    <t>-</t>
  </si>
  <si>
    <t>INVENTARIO Y TRAZABILIDAD DE FUNCIONALIDADES (VERSIÓN 1.0)</t>
  </si>
  <si>
    <t>Módulo / Funcionalidad</t>
  </si>
  <si>
    <t>Origen / Requisito</t>
  </si>
  <si>
    <t>Peso (%)</t>
  </si>
  <si>
    <t>Estado de Cumplimiento</t>
  </si>
  <si>
    <t>Evidencia Verificable</t>
  </si>
  <si>
    <t>Autenticación y Gestión de Usuarios (OAuth / Rol)</t>
  </si>
  <si>
    <t>REQ-01</t>
  </si>
  <si>
    <t>Módulo de Login implementado y testeado con JWT y Google Auth</t>
  </si>
  <si>
    <t>Dashboard General de Indicadores y Métricas</t>
  </si>
  <si>
    <t>REQ-02</t>
  </si>
  <si>
    <t>Vista de métricas operativa con conexión a BD</t>
  </si>
  <si>
    <t>Módulo de Gestión de Pacientes / Registro</t>
  </si>
  <si>
    <t>REQ-03</t>
  </si>
  <si>
    <t>CRUD completo de pacientes validado</t>
  </si>
  <si>
    <t>Módulo de Agendamiento de Citas Médicas</t>
  </si>
  <si>
    <t>REQ-04</t>
  </si>
  <si>
    <t>Permite agendar pero sin notificación por email aún</t>
  </si>
  <si>
    <t>Integración con API Externa de Previsión / Salud</t>
  </si>
  <si>
    <t>REQ-05</t>
  </si>
  <si>
    <t>Endpoints conectados, en pruebas de respuesta en mock</t>
  </si>
  <si>
    <t>Módulo de Facturación y Pagos Webpay</t>
  </si>
  <si>
    <t>REQ-06</t>
  </si>
  <si>
    <t>Estructura de BD y vistas creadas sin pasarela activa</t>
  </si>
  <si>
    <t>Reportes Exportables en PDF y Excel</t>
  </si>
  <si>
    <t>REQ-07</t>
  </si>
  <si>
    <t>Plantillas maquetadas en frontend</t>
  </si>
  <si>
    <t>Módulo de Notificaciones en Tiempo Real</t>
  </si>
  <si>
    <t>REQ-08</t>
  </si>
  <si>
    <t>Pendiente de inicio</t>
  </si>
  <si>
    <t>Configuración de Parámetros del Sistema</t>
  </si>
  <si>
    <t>REQ-09</t>
  </si>
  <si>
    <t>Panel de administración funcional</t>
  </si>
  <si>
    <t>TOTAL AVANCE RECONOCIDO V1.0</t>
  </si>
  <si>
    <t>PLAN DE TRABAJO PARA LAS OCHO SEMANAS RESTANTES</t>
  </si>
  <si>
    <t>Semana</t>
  </si>
  <si>
    <t>Foco / Incremental</t>
  </si>
  <si>
    <t>Responsable</t>
  </si>
  <si>
    <t>Resultado Comprobable</t>
  </si>
  <si>
    <t>Avance Acumulado Esperado (%)</t>
  </si>
  <si>
    <t>Avance Acumulado Real (%)</t>
  </si>
  <si>
    <t>Semana 1</t>
  </si>
  <si>
    <t>Completar módulo de agendamiento y notificaciones email</t>
  </si>
  <si>
    <t>Gabriel Rodríguez</t>
  </si>
  <si>
    <t>Agendamiento con envío de correo de confirmación</t>
  </si>
  <si>
    <t>Semana 2</t>
  </si>
  <si>
    <t>Desarrollo y pruebas de API Previsión de Salud</t>
  </si>
  <si>
    <t>María Jesús Ulloa</t>
  </si>
  <si>
    <t>Endpoints de previsión respondiendo datos reales</t>
  </si>
  <si>
    <t>Semana 3</t>
  </si>
  <si>
    <t>Integración pasarela de pagos Webpay (Pruebas)</t>
  </si>
  <si>
    <t>Transacción de prueba completada con éxito en Transbank</t>
  </si>
  <si>
    <t>Semana 4</t>
  </si>
  <si>
    <t>Desarrollo de módulos de reportes en PDF/Excel</t>
  </si>
  <si>
    <t>Generación de reportes funcionales con filtros</t>
  </si>
  <si>
    <t>Semana 5</t>
  </si>
  <si>
    <t>Integración general del sistema y pruebas end-to-end</t>
  </si>
  <si>
    <t>Gabriel &amp; María Jesús</t>
  </si>
  <si>
    <t>Flujo completo del sistema ejecutado sin caídas</t>
  </si>
  <si>
    <t>Semana 6</t>
  </si>
  <si>
    <t>Pruebas funcionales y de usabilidad con usuarios</t>
  </si>
  <si>
    <t>Informe de pruebas e incidencias resueltas</t>
  </si>
  <si>
    <t>Semana 7</t>
  </si>
  <si>
    <t>Corrección de errores, ajustes finos y preparación de demo</t>
  </si>
  <si>
    <t>Versión Candidata (RC) estable</t>
  </si>
  <si>
    <t>Semana 8</t>
  </si>
  <si>
    <t>Validación final, documentación y cierre Versión 1.0</t>
  </si>
  <si>
    <t>Versión 1.0 desplegada y validada por docente</t>
  </si>
  <si>
    <t>1. BLOQUEOS, RIESGOS Y DECISIONES</t>
  </si>
  <si>
    <t>Bloqueo / Riesgo</t>
  </si>
  <si>
    <t>Impacto en v1.0</t>
  </si>
  <si>
    <t>Decisión / Acción Mitigadora</t>
  </si>
  <si>
    <t>Responsable &amp; Fecha</t>
  </si>
  <si>
    <t>Demora en credenciales de pruebas de pasarela Webpay</t>
  </si>
  <si>
    <t>Alto - Impide completar facturación</t>
  </si>
  <si>
    <t>Usar sandbox con llaves genéricas de Transbank mientras se tramitan oficiales</t>
  </si>
  <si>
    <t>Gabriel R. - Sem 2</t>
  </si>
  <si>
    <t>Complejidad en integración de API de Salud externa</t>
  </si>
  <si>
    <t>Medio - Retraso en módulo de previsión</t>
  </si>
  <si>
    <t>Implementar cliente Mock con respuestas JSON estáticas para no frenar QA</t>
  </si>
  <si>
    <t>María Jesús U. - Sem 2</t>
  </si>
  <si>
    <t>Disponibilidad limitada de tiempo para pruebas integrales</t>
  </si>
  <si>
    <t>Medio - Posibles bugs en versión 1.0</t>
  </si>
  <si>
    <t>Automatizar pruebas unitarias clave y reservar Semanas 5 y 6 exclusivas</t>
  </si>
  <si>
    <t>Equipo - Sem 5</t>
  </si>
  <si>
    <t>2. REVISIÓN DE VIABILIDAD</t>
  </si>
  <si>
    <t>Aspecto Evaluado</t>
  </si>
  <si>
    <t>Conclusión / Evidencia</t>
  </si>
  <si>
    <t>Evaluación de Viabilidad</t>
  </si>
  <si>
    <t>Alcance definido para la versión 1.0</t>
  </si>
  <si>
    <t>El 62.5% ya está funcional o avanzado. El restante es abordable en 8 semanas.</t>
  </si>
  <si>
    <t>Viable</t>
  </si>
  <si>
    <t>Capacidad del equipo para ocho semanas</t>
  </si>
  <si>
    <t>Distribución de cargas equilibrada entre los 2 integrantes.</t>
  </si>
  <si>
    <t>Dependencias técnicas o externas</t>
  </si>
  <si>
    <t>Riesgo en Webpay mitigar con Mock y llaves de prueba.</t>
  </si>
  <si>
    <t>Ajustar</t>
  </si>
  <si>
    <t>Tiempo reservado para pruebas y correcciones</t>
  </si>
  <si>
    <t>Semanas 5 a 7 están dedicadas a integración y pruebas.</t>
  </si>
  <si>
    <t>Suficiente</t>
  </si>
  <si>
    <t>Funcionalidades que deben postergarse</t>
  </si>
  <si>
    <t>Módulo de Notificaciones en Tiempo Real podría pasar a v1.1 si hay retrasos.</t>
  </si>
  <si>
    <t>Identificadas</t>
  </si>
  <si>
    <t>3. COMPROMISOS PARA LA SIGUIENTE ITERACIÓN</t>
  </si>
  <si>
    <t>Incremento / Resultado Compromiso</t>
  </si>
  <si>
    <t>Fecha Compromiso</t>
  </si>
  <si>
    <t>Criterio de Aceptación</t>
  </si>
  <si>
    <t>Agendamiento completo con envío de correos de confirmación</t>
  </si>
  <si>
    <t>Semana 1 - Viernes</t>
  </si>
  <si>
    <t>El cliente recibe el correo con la cita tras completar el agendamiento</t>
  </si>
  <si>
    <t>Conexión exitosa a API de Previsión en entorno de sandbox</t>
  </si>
  <si>
    <t>Semana 2 - Miércoles</t>
  </si>
  <si>
    <t>Respuesta exitosa de código HTTP 200 con datos de previsión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</si>
</sst>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3"/>
      <color rgb="FF1F4E78"/>
      <name val="Calibri"/>
    </font>
    <font>
      <i/>
      <sz val="11"/>
      <color rgb="FF595959"/>
      <name val="Calibri"/>
    </font>
    <font>
      <b/>
      <sz val="9"/>
      <color rgb="FF595959"/>
      <name val="Calibri"/>
    </font>
    <font>
      <b/>
      <sz val="20"/>
      <color rgb="FF1F4E78"/>
      <name val="Calibri"/>
    </font>
    <font>
      <b/>
      <sz val="14"/>
      <color rgb="FFC659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6" fillId="0" borderId="0" xfId="0" applyFont="1"/>
    <xf numFmtId="0" fontId="0" fillId="0" borderId="1" xfId="0" applyBorder="1"/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Distribución </a:t>
            </a:r>
            <a:r>
              <a:rPr lang="es-CL" baseline="0"/>
              <a:t>por Estado</a:t>
            </a:r>
          </a:p>
          <a:p>
            <a:pPr>
              <a:defRPr/>
            </a:pP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Dashboard!$E$11</c:f>
              <c:strCache>
                <c:ptCount val="1"/>
                <c:pt idx="0">
                  <c:v>Peso Total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Dashboard!$B$12:$B$15</c:f>
              <c:strCache>
                <c:ptCount val="4"/>
                <c:pt idx="0">
                  <c:v>Terminada y comprobada</c:v>
                </c:pt>
                <c:pt idx="1">
                  <c:v>Funciona parcialmente</c:v>
                </c:pt>
                <c:pt idx="2">
                  <c:v>Iniciada no funcional</c:v>
                </c:pt>
                <c:pt idx="3">
                  <c:v>No iniciada</c:v>
                </c:pt>
              </c:strCache>
            </c:strRef>
          </c:cat>
          <c:val>
            <c:numRef>
              <c:f>Dashboard!$E$12:$E$15</c:f>
              <c:numCache>
                <c:formatCode>0.0%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6-48BE-A38F-271126AE2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Avance Acumulado Esperado vs Real (S1 - S8)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Planificación!$F$4</c:f>
              <c:strCache>
                <c:ptCount val="1"/>
                <c:pt idx="0">
                  <c:v>Avance Acumulado Esperado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Planificación!$B$5:$B$12</c:f>
              <c:strCache>
                <c:ptCount val="8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</c:strCache>
            </c:strRef>
          </c:cat>
          <c:val>
            <c:numRef>
              <c:f>Planificación!$F$5:$F$12</c:f>
              <c:numCache>
                <c:formatCode>0.0%</c:formatCode>
                <c:ptCount val="8"/>
                <c:pt idx="0">
                  <c:v>0.65</c:v>
                </c:pt>
                <c:pt idx="1">
                  <c:v>0.72</c:v>
                </c:pt>
                <c:pt idx="2">
                  <c:v>0.8</c:v>
                </c:pt>
                <c:pt idx="3">
                  <c:v>0.88</c:v>
                </c:pt>
                <c:pt idx="4">
                  <c:v>0.93</c:v>
                </c:pt>
                <c:pt idx="5">
                  <c:v>0.96</c:v>
                </c:pt>
                <c:pt idx="6">
                  <c:v>0.98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A-46C2-9BB9-78695F70C05E}"/>
            </c:ext>
          </c:extLst>
        </c:ser>
        <c:ser>
          <c:idx val="1"/>
          <c:order val="1"/>
          <c:tx>
            <c:strRef>
              <c:f>Planificación!$G$4</c:f>
              <c:strCache>
                <c:ptCount val="1"/>
                <c:pt idx="0">
                  <c:v>Avance Acumulado Real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Planificación!$B$5:$B$12</c:f>
              <c:strCache>
                <c:ptCount val="8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</c:strCache>
            </c:strRef>
          </c:cat>
          <c:val>
            <c:numRef>
              <c:f>Planificación!$G$5:$G$12</c:f>
              <c:numCache>
                <c:formatCode>0.0%</c:formatCode>
                <c:ptCount val="8"/>
                <c:pt idx="0">
                  <c:v>0.625</c:v>
                </c:pt>
                <c:pt idx="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DA-46C2-9BB9-78695F70C0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% Avance Acumulado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50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38100</xdr:colOff>
      <xdr:row>17</xdr:row>
      <xdr:rowOff>0</xdr:rowOff>
    </xdr:from>
    <xdr:ext cx="576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6"/>
  <sheetViews>
    <sheetView tabSelected="1" workbookViewId="0">
      <selection activeCell="P12" sqref="P12"/>
    </sheetView>
  </sheetViews>
  <sheetFormatPr baseColWidth="10" defaultColWidth="9.140625" defaultRowHeight="15" x14ac:dyDescent="0.25"/>
  <cols>
    <col min="1" max="1" width="3" customWidth="1"/>
    <col min="2" max="2" width="25" customWidth="1"/>
    <col min="3" max="3" width="15" customWidth="1"/>
    <col min="4" max="4" width="18" customWidth="1"/>
    <col min="5" max="6" width="22" customWidth="1"/>
  </cols>
  <sheetData>
    <row r="2" spans="2:12" ht="21" x14ac:dyDescent="0.35">
      <c r="B2" s="1" t="s">
        <v>0</v>
      </c>
    </row>
    <row r="3" spans="2:12" x14ac:dyDescent="0.25">
      <c r="B3" s="2" t="s">
        <v>1</v>
      </c>
    </row>
    <row r="5" spans="2:12" x14ac:dyDescent="0.25">
      <c r="B5" s="20" t="s">
        <v>2</v>
      </c>
      <c r="C5" s="19"/>
      <c r="E5" s="20" t="s">
        <v>3</v>
      </c>
      <c r="F5" s="19"/>
      <c r="H5" s="20" t="s">
        <v>4</v>
      </c>
      <c r="I5" s="19"/>
      <c r="K5" s="20" t="s">
        <v>5</v>
      </c>
      <c r="L5" s="19"/>
    </row>
    <row r="6" spans="2:12" x14ac:dyDescent="0.25">
      <c r="B6" s="18">
        <v>1</v>
      </c>
      <c r="C6" s="19"/>
      <c r="E6" s="18">
        <f>Inventario!F15</f>
        <v>0.62500000000000011</v>
      </c>
      <c r="F6" s="19"/>
      <c r="H6" s="18">
        <f>B6-E6</f>
        <v>0.37499999999999989</v>
      </c>
      <c r="I6" s="19"/>
      <c r="K6" s="21" t="s">
        <v>6</v>
      </c>
      <c r="L6" s="19"/>
    </row>
    <row r="7" spans="2:12" x14ac:dyDescent="0.25">
      <c r="B7" s="19"/>
      <c r="C7" s="19"/>
      <c r="E7" s="19"/>
      <c r="F7" s="19"/>
      <c r="H7" s="19"/>
      <c r="I7" s="19"/>
      <c r="K7" s="19"/>
      <c r="L7" s="19"/>
    </row>
    <row r="10" spans="2:12" ht="17.25" x14ac:dyDescent="0.3">
      <c r="B10" s="4" t="s">
        <v>7</v>
      </c>
    </row>
    <row r="11" spans="2:12" ht="30" x14ac:dyDescent="0.25"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</row>
    <row r="12" spans="2:12" x14ac:dyDescent="0.25">
      <c r="B12" s="6" t="s">
        <v>13</v>
      </c>
      <c r="C12" s="7">
        <v>1</v>
      </c>
      <c r="D12" s="8">
        <f>COUNTIF(Inventario!E5:E13, "Terminada y comprobada")</f>
        <v>4</v>
      </c>
      <c r="E12" s="7">
        <f>SUMIF(Inventario!E5:E13, "Terminada y comprobada", Inventario!D5:D13)</f>
        <v>0.45</v>
      </c>
      <c r="F12" s="7">
        <f>SUMIF(Inventario!E5:E13, "Terminada y comprobada", Inventario!F5:F13)</f>
        <v>0.45</v>
      </c>
    </row>
    <row r="13" spans="2:12" x14ac:dyDescent="0.25">
      <c r="B13" s="6" t="s">
        <v>14</v>
      </c>
      <c r="C13" s="7">
        <v>0.5</v>
      </c>
      <c r="D13" s="8">
        <f>COUNTIF(Inventario!E5:E13, "Funciona parcialmente")</f>
        <v>2</v>
      </c>
      <c r="E13" s="7">
        <f>SUMIF(Inventario!E5:E13, "Funciona parcialmente", Inventario!D5:D13)</f>
        <v>0.25</v>
      </c>
      <c r="F13" s="7">
        <f>SUMIF(Inventario!E5:E13, "Funciona parcialmente", Inventario!F5:F13)</f>
        <v>0.125</v>
      </c>
    </row>
    <row r="14" spans="2:12" x14ac:dyDescent="0.25">
      <c r="B14" s="6" t="s">
        <v>15</v>
      </c>
      <c r="C14" s="7">
        <v>0.25</v>
      </c>
      <c r="D14" s="8">
        <f>COUNTIF(Inventario!E5:E13, "Iniciada no funcional")</f>
        <v>2</v>
      </c>
      <c r="E14" s="7">
        <f>SUMIF(Inventario!E5:E13, "Iniciada no funcional", Inventario!D5:D13)</f>
        <v>0.2</v>
      </c>
      <c r="F14" s="7">
        <f>SUMIF(Inventario!E5:E13, "Iniciada no funcional", Inventario!F5:F13)</f>
        <v>0.05</v>
      </c>
    </row>
    <row r="15" spans="2:12" x14ac:dyDescent="0.25">
      <c r="B15" s="6" t="s">
        <v>16</v>
      </c>
      <c r="C15" s="7">
        <v>0</v>
      </c>
      <c r="D15" s="8">
        <f>COUNTIF(Inventario!E5:E13, "No iniciada")</f>
        <v>1</v>
      </c>
      <c r="E15" s="7">
        <f>SUMIF(Inventario!E5:E13, "No iniciada", Inventario!D5:D13)</f>
        <v>0.1</v>
      </c>
      <c r="F15" s="7">
        <f>SUMIF(Inventario!E5:E13, "No iniciada", Inventario!F5:F13)</f>
        <v>0</v>
      </c>
    </row>
    <row r="16" spans="2:12" x14ac:dyDescent="0.25">
      <c r="B16" s="9" t="s">
        <v>17</v>
      </c>
      <c r="C16" s="10" t="s">
        <v>18</v>
      </c>
      <c r="D16" s="11">
        <f>SUM(D12:D15)</f>
        <v>9</v>
      </c>
      <c r="E16" s="12">
        <f>SUM(E12:E15)</f>
        <v>0.99999999999999989</v>
      </c>
      <c r="F16" s="12">
        <f>SUM(F12:F15)</f>
        <v>0.625</v>
      </c>
    </row>
  </sheetData>
  <mergeCells count="8">
    <mergeCell ref="E6:F7"/>
    <mergeCell ref="H6:I7"/>
    <mergeCell ref="B5:C5"/>
    <mergeCell ref="K6:L7"/>
    <mergeCell ref="E5:F5"/>
    <mergeCell ref="K5:L5"/>
    <mergeCell ref="B6:C7"/>
    <mergeCell ref="H5:I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"/>
  <sheetViews>
    <sheetView workbookViewId="0">
      <selection activeCell="C36" sqref="C36"/>
    </sheetView>
  </sheetViews>
  <sheetFormatPr baseColWidth="10" defaultColWidth="9.140625" defaultRowHeight="15" x14ac:dyDescent="0.25"/>
  <cols>
    <col min="1" max="1" width="3" customWidth="1"/>
    <col min="2" max="2" width="44" customWidth="1"/>
    <col min="3" max="3" width="18" customWidth="1"/>
    <col min="4" max="4" width="12" customWidth="1"/>
    <col min="5" max="5" width="25" customWidth="1"/>
    <col min="6" max="6" width="22" customWidth="1"/>
    <col min="7" max="7" width="52" customWidth="1"/>
  </cols>
  <sheetData>
    <row r="2" spans="2:7" ht="21" x14ac:dyDescent="0.35">
      <c r="B2" s="1" t="s">
        <v>19</v>
      </c>
    </row>
    <row r="4" spans="2:7" x14ac:dyDescent="0.25">
      <c r="B4" s="5" t="s">
        <v>20</v>
      </c>
      <c r="C4" s="5" t="s">
        <v>21</v>
      </c>
      <c r="D4" s="5" t="s">
        <v>22</v>
      </c>
      <c r="E4" s="5" t="s">
        <v>23</v>
      </c>
      <c r="F4" s="5" t="s">
        <v>12</v>
      </c>
      <c r="G4" s="5" t="s">
        <v>24</v>
      </c>
    </row>
    <row r="5" spans="2:7" ht="30" x14ac:dyDescent="0.25">
      <c r="B5" s="6" t="s">
        <v>25</v>
      </c>
      <c r="C5" s="8" t="s">
        <v>26</v>
      </c>
      <c r="D5" s="7">
        <v>0.1</v>
      </c>
      <c r="E5" s="6" t="s">
        <v>13</v>
      </c>
      <c r="F5" s="7">
        <f t="shared" ref="F5:F13" si="0">D5*IF(E5="Terminada y comprobada",1,IF(E5="Funciona parcialmente",0.5,IF(E5="Iniciada no funcional",0.25,0)))</f>
        <v>0.1</v>
      </c>
      <c r="G5" s="6" t="s">
        <v>27</v>
      </c>
    </row>
    <row r="6" spans="2:7" x14ac:dyDescent="0.25">
      <c r="B6" s="13" t="s">
        <v>28</v>
      </c>
      <c r="C6" s="14" t="s">
        <v>29</v>
      </c>
      <c r="D6" s="15">
        <v>0.15</v>
      </c>
      <c r="E6" s="13" t="s">
        <v>13</v>
      </c>
      <c r="F6" s="15">
        <f t="shared" si="0"/>
        <v>0.15</v>
      </c>
      <c r="G6" s="13" t="s">
        <v>30</v>
      </c>
    </row>
    <row r="7" spans="2:7" x14ac:dyDescent="0.25">
      <c r="B7" s="6" t="s">
        <v>31</v>
      </c>
      <c r="C7" s="8" t="s">
        <v>32</v>
      </c>
      <c r="D7" s="7">
        <v>0.15</v>
      </c>
      <c r="E7" s="6" t="s">
        <v>13</v>
      </c>
      <c r="F7" s="7">
        <f t="shared" si="0"/>
        <v>0.15</v>
      </c>
      <c r="G7" s="6" t="s">
        <v>33</v>
      </c>
    </row>
    <row r="8" spans="2:7" x14ac:dyDescent="0.25">
      <c r="B8" s="13" t="s">
        <v>34</v>
      </c>
      <c r="C8" s="14" t="s">
        <v>35</v>
      </c>
      <c r="D8" s="15">
        <v>0.15</v>
      </c>
      <c r="E8" s="13" t="s">
        <v>14</v>
      </c>
      <c r="F8" s="15">
        <f t="shared" si="0"/>
        <v>7.4999999999999997E-2</v>
      </c>
      <c r="G8" s="13" t="s">
        <v>36</v>
      </c>
    </row>
    <row r="9" spans="2:7" x14ac:dyDescent="0.25">
      <c r="B9" s="6" t="s">
        <v>37</v>
      </c>
      <c r="C9" s="8" t="s">
        <v>38</v>
      </c>
      <c r="D9" s="7">
        <v>0.1</v>
      </c>
      <c r="E9" s="6" t="s">
        <v>14</v>
      </c>
      <c r="F9" s="7">
        <f t="shared" si="0"/>
        <v>0.05</v>
      </c>
      <c r="G9" s="6" t="s">
        <v>39</v>
      </c>
    </row>
    <row r="10" spans="2:7" x14ac:dyDescent="0.25">
      <c r="B10" s="13" t="s">
        <v>40</v>
      </c>
      <c r="C10" s="14" t="s">
        <v>41</v>
      </c>
      <c r="D10" s="15">
        <v>0.1</v>
      </c>
      <c r="E10" s="13" t="s">
        <v>15</v>
      </c>
      <c r="F10" s="15">
        <f t="shared" si="0"/>
        <v>2.5000000000000001E-2</v>
      </c>
      <c r="G10" s="13" t="s">
        <v>42</v>
      </c>
    </row>
    <row r="11" spans="2:7" x14ac:dyDescent="0.25">
      <c r="B11" s="6" t="s">
        <v>43</v>
      </c>
      <c r="C11" s="8" t="s">
        <v>44</v>
      </c>
      <c r="D11" s="7">
        <v>0.1</v>
      </c>
      <c r="E11" s="6" t="s">
        <v>15</v>
      </c>
      <c r="F11" s="7">
        <f t="shared" si="0"/>
        <v>2.5000000000000001E-2</v>
      </c>
      <c r="G11" s="6" t="s">
        <v>45</v>
      </c>
    </row>
    <row r="12" spans="2:7" x14ac:dyDescent="0.25">
      <c r="B12" s="13" t="s">
        <v>46</v>
      </c>
      <c r="C12" s="14" t="s">
        <v>47</v>
      </c>
      <c r="D12" s="15">
        <v>0.1</v>
      </c>
      <c r="E12" s="13" t="s">
        <v>16</v>
      </c>
      <c r="F12" s="15">
        <f t="shared" si="0"/>
        <v>0</v>
      </c>
      <c r="G12" s="13" t="s">
        <v>48</v>
      </c>
    </row>
    <row r="13" spans="2:7" x14ac:dyDescent="0.25">
      <c r="B13" s="6" t="s">
        <v>49</v>
      </c>
      <c r="C13" s="8" t="s">
        <v>50</v>
      </c>
      <c r="D13" s="7">
        <v>0.05</v>
      </c>
      <c r="E13" s="6" t="s">
        <v>13</v>
      </c>
      <c r="F13" s="7">
        <f t="shared" si="0"/>
        <v>0.05</v>
      </c>
      <c r="G13" s="6" t="s">
        <v>51</v>
      </c>
    </row>
    <row r="15" spans="2:7" x14ac:dyDescent="0.25">
      <c r="B15" s="9" t="s">
        <v>52</v>
      </c>
      <c r="C15" s="10" t="s">
        <v>18</v>
      </c>
      <c r="D15" s="12">
        <f>SUM(D5:D13)</f>
        <v>1</v>
      </c>
      <c r="E15" s="10" t="s">
        <v>18</v>
      </c>
      <c r="F15" s="12">
        <f>SUM(F5:F13)</f>
        <v>0.62500000000000011</v>
      </c>
      <c r="G15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2"/>
  <sheetViews>
    <sheetView workbookViewId="0"/>
  </sheetViews>
  <sheetFormatPr baseColWidth="10" defaultColWidth="9.140625" defaultRowHeight="15" x14ac:dyDescent="0.25"/>
  <cols>
    <col min="1" max="1" width="3" customWidth="1"/>
    <col min="2" max="2" width="14" customWidth="1"/>
    <col min="3" max="3" width="48" customWidth="1"/>
    <col min="4" max="4" width="22" customWidth="1"/>
    <col min="5" max="5" width="48" customWidth="1"/>
    <col min="6" max="6" width="28" customWidth="1"/>
    <col min="7" max="7" width="25" customWidth="1"/>
  </cols>
  <sheetData>
    <row r="2" spans="2:7" ht="21" x14ac:dyDescent="0.35">
      <c r="B2" s="1" t="s">
        <v>53</v>
      </c>
    </row>
    <row r="4" spans="2:7" ht="30" x14ac:dyDescent="0.25">
      <c r="B4" s="5" t="s">
        <v>54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</row>
    <row r="5" spans="2:7" ht="30" x14ac:dyDescent="0.25">
      <c r="B5" s="8" t="s">
        <v>60</v>
      </c>
      <c r="C5" s="6" t="s">
        <v>61</v>
      </c>
      <c r="D5" s="8" t="s">
        <v>62</v>
      </c>
      <c r="E5" s="6" t="s">
        <v>63</v>
      </c>
      <c r="F5" s="7">
        <v>0.65</v>
      </c>
      <c r="G5" s="7">
        <v>0.625</v>
      </c>
    </row>
    <row r="6" spans="2:7" x14ac:dyDescent="0.25">
      <c r="B6" s="14" t="s">
        <v>64</v>
      </c>
      <c r="C6" s="13" t="s">
        <v>65</v>
      </c>
      <c r="D6" s="14" t="s">
        <v>66</v>
      </c>
      <c r="E6" s="13" t="s">
        <v>67</v>
      </c>
      <c r="F6" s="15">
        <v>0.72</v>
      </c>
      <c r="G6" s="15">
        <v>0.7</v>
      </c>
    </row>
    <row r="7" spans="2:7" ht="30" x14ac:dyDescent="0.25">
      <c r="B7" s="8" t="s">
        <v>68</v>
      </c>
      <c r="C7" s="6" t="s">
        <v>69</v>
      </c>
      <c r="D7" s="8" t="s">
        <v>62</v>
      </c>
      <c r="E7" s="6" t="s">
        <v>70</v>
      </c>
      <c r="F7" s="7">
        <v>0.8</v>
      </c>
      <c r="G7" s="16"/>
    </row>
    <row r="8" spans="2:7" x14ac:dyDescent="0.25">
      <c r="B8" s="14" t="s">
        <v>71</v>
      </c>
      <c r="C8" s="13" t="s">
        <v>72</v>
      </c>
      <c r="D8" s="14" t="s">
        <v>66</v>
      </c>
      <c r="E8" s="13" t="s">
        <v>73</v>
      </c>
      <c r="F8" s="15">
        <v>0.88</v>
      </c>
      <c r="G8" s="17"/>
    </row>
    <row r="9" spans="2:7" ht="30" x14ac:dyDescent="0.25">
      <c r="B9" s="8" t="s">
        <v>74</v>
      </c>
      <c r="C9" s="6" t="s">
        <v>75</v>
      </c>
      <c r="D9" s="8" t="s">
        <v>76</v>
      </c>
      <c r="E9" s="6" t="s">
        <v>77</v>
      </c>
      <c r="F9" s="7">
        <v>0.93</v>
      </c>
      <c r="G9" s="16"/>
    </row>
    <row r="10" spans="2:7" x14ac:dyDescent="0.25">
      <c r="B10" s="14" t="s">
        <v>78</v>
      </c>
      <c r="C10" s="13" t="s">
        <v>79</v>
      </c>
      <c r="D10" s="14" t="s">
        <v>66</v>
      </c>
      <c r="E10" s="13" t="s">
        <v>80</v>
      </c>
      <c r="F10" s="15">
        <v>0.96</v>
      </c>
      <c r="G10" s="17"/>
    </row>
    <row r="11" spans="2:7" ht="30" x14ac:dyDescent="0.25">
      <c r="B11" s="8" t="s">
        <v>81</v>
      </c>
      <c r="C11" s="6" t="s">
        <v>82</v>
      </c>
      <c r="D11" s="8" t="s">
        <v>62</v>
      </c>
      <c r="E11" s="6" t="s">
        <v>83</v>
      </c>
      <c r="F11" s="7">
        <v>0.98</v>
      </c>
      <c r="G11" s="16"/>
    </row>
    <row r="12" spans="2:7" x14ac:dyDescent="0.25">
      <c r="B12" s="14" t="s">
        <v>84</v>
      </c>
      <c r="C12" s="13" t="s">
        <v>85</v>
      </c>
      <c r="D12" s="14" t="s">
        <v>76</v>
      </c>
      <c r="E12" s="13" t="s">
        <v>86</v>
      </c>
      <c r="F12" s="15">
        <v>1</v>
      </c>
      <c r="G12" s="1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4"/>
  <sheetViews>
    <sheetView workbookViewId="0"/>
  </sheetViews>
  <sheetFormatPr baseColWidth="10" defaultColWidth="9.140625" defaultRowHeight="15" x14ac:dyDescent="0.25"/>
  <cols>
    <col min="1" max="1" width="3" customWidth="1"/>
    <col min="2" max="2" width="40" customWidth="1"/>
    <col min="3" max="4" width="48" customWidth="1"/>
    <col min="5" max="5" width="25" customWidth="1"/>
  </cols>
  <sheetData>
    <row r="2" spans="2:5" ht="17.25" x14ac:dyDescent="0.3">
      <c r="B2" s="4" t="s">
        <v>87</v>
      </c>
    </row>
    <row r="4" spans="2:5" x14ac:dyDescent="0.25">
      <c r="B4" s="5" t="s">
        <v>88</v>
      </c>
      <c r="C4" s="5" t="s">
        <v>89</v>
      </c>
      <c r="D4" s="5" t="s">
        <v>90</v>
      </c>
      <c r="E4" s="5" t="s">
        <v>91</v>
      </c>
    </row>
    <row r="5" spans="2:5" ht="30" x14ac:dyDescent="0.25">
      <c r="B5" s="6" t="s">
        <v>92</v>
      </c>
      <c r="C5" s="8" t="s">
        <v>93</v>
      </c>
      <c r="D5" s="6" t="s">
        <v>94</v>
      </c>
      <c r="E5" s="8" t="s">
        <v>95</v>
      </c>
    </row>
    <row r="6" spans="2:5" ht="30" x14ac:dyDescent="0.25">
      <c r="B6" s="6" t="s">
        <v>96</v>
      </c>
      <c r="C6" s="8" t="s">
        <v>97</v>
      </c>
      <c r="D6" s="6" t="s">
        <v>98</v>
      </c>
      <c r="E6" s="8" t="s">
        <v>99</v>
      </c>
    </row>
    <row r="7" spans="2:5" ht="30" x14ac:dyDescent="0.25">
      <c r="B7" s="6" t="s">
        <v>100</v>
      </c>
      <c r="C7" s="8" t="s">
        <v>101</v>
      </c>
      <c r="D7" s="6" t="s">
        <v>102</v>
      </c>
      <c r="E7" s="8" t="s">
        <v>103</v>
      </c>
    </row>
    <row r="10" spans="2:5" ht="17.25" x14ac:dyDescent="0.3">
      <c r="B10" s="4" t="s">
        <v>104</v>
      </c>
    </row>
    <row r="12" spans="2:5" x14ac:dyDescent="0.25">
      <c r="B12" s="5" t="s">
        <v>105</v>
      </c>
      <c r="C12" s="5" t="s">
        <v>106</v>
      </c>
      <c r="D12" s="5" t="s">
        <v>107</v>
      </c>
    </row>
    <row r="13" spans="2:5" ht="30" x14ac:dyDescent="0.25">
      <c r="B13" s="6" t="s">
        <v>108</v>
      </c>
      <c r="C13" s="6" t="s">
        <v>109</v>
      </c>
      <c r="D13" s="8" t="s">
        <v>110</v>
      </c>
    </row>
    <row r="14" spans="2:5" ht="30" x14ac:dyDescent="0.25">
      <c r="B14" s="6" t="s">
        <v>111</v>
      </c>
      <c r="C14" s="6" t="s">
        <v>112</v>
      </c>
      <c r="D14" s="8" t="s">
        <v>110</v>
      </c>
    </row>
    <row r="15" spans="2:5" ht="30" x14ac:dyDescent="0.25">
      <c r="B15" s="6" t="s">
        <v>113</v>
      </c>
      <c r="C15" s="6" t="s">
        <v>114</v>
      </c>
      <c r="D15" s="8" t="s">
        <v>115</v>
      </c>
    </row>
    <row r="16" spans="2:5" ht="30" x14ac:dyDescent="0.25">
      <c r="B16" s="6" t="s">
        <v>116</v>
      </c>
      <c r="C16" s="6" t="s">
        <v>117</v>
      </c>
      <c r="D16" s="8" t="s">
        <v>118</v>
      </c>
    </row>
    <row r="17" spans="2:5" ht="30" x14ac:dyDescent="0.25">
      <c r="B17" s="6" t="s">
        <v>119</v>
      </c>
      <c r="C17" s="6" t="s">
        <v>120</v>
      </c>
      <c r="D17" s="8" t="s">
        <v>121</v>
      </c>
    </row>
    <row r="20" spans="2:5" ht="17.25" x14ac:dyDescent="0.3">
      <c r="B20" s="4" t="s">
        <v>122</v>
      </c>
    </row>
    <row r="22" spans="2:5" x14ac:dyDescent="0.25">
      <c r="B22" s="5" t="s">
        <v>123</v>
      </c>
      <c r="C22" s="5" t="s">
        <v>56</v>
      </c>
      <c r="D22" s="5" t="s">
        <v>124</v>
      </c>
      <c r="E22" s="5" t="s">
        <v>125</v>
      </c>
    </row>
    <row r="23" spans="2:5" ht="45" x14ac:dyDescent="0.25">
      <c r="B23" s="6" t="s">
        <v>126</v>
      </c>
      <c r="C23" s="8" t="s">
        <v>62</v>
      </c>
      <c r="D23" s="8" t="s">
        <v>127</v>
      </c>
      <c r="E23" s="6" t="s">
        <v>128</v>
      </c>
    </row>
    <row r="24" spans="2:5" ht="45" x14ac:dyDescent="0.25">
      <c r="B24" s="6" t="s">
        <v>129</v>
      </c>
      <c r="C24" s="8" t="s">
        <v>66</v>
      </c>
      <c r="D24" s="8" t="s">
        <v>130</v>
      </c>
      <c r="E24" s="6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Inventario</vt:lpstr>
      <vt:lpstr>Planificación</vt:lpstr>
      <vt:lpstr>Riesgos_Evaluación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IGNACIO RODRIGUEZ CADIZ</cp:lastModifiedBy>
  <dcterms:created xsi:type="dcterms:W3CDTF">2026-10-05T17:55:57Z</dcterms:created>
  <dcterms:modified xsi:type="dcterms:W3CDTF">2026-10-05T19:29:55Z</dcterms:modified>
</cp:coreProperties>
</file>